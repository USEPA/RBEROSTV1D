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detenbeck_naomi_epa_gov/Documents/BPA-C 68HERC24A0011 68HERC25F0073/LIS Documentation/EQIPCostUpdates/"/>
    </mc:Choice>
  </mc:AlternateContent>
  <xr:revisionPtr revIDLastSave="77" documentId="8_{0FFDEB82-B786-4D32-87C6-03A3DB846795}" xr6:coauthVersionLast="47" xr6:coauthVersionMax="47" xr10:uidLastSave="{683BB15F-E2AE-4384-853C-AEF62602A6DD}"/>
  <bookViews>
    <workbookView xWindow="2220" yWindow="756" windowWidth="16218" windowHeight="12882" xr2:uid="{6BE3FCEF-D897-4491-B762-4015DCBAB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N21" i="1"/>
  <c r="M21" i="1"/>
  <c r="L21" i="1"/>
  <c r="K21" i="1"/>
  <c r="O22" i="1"/>
  <c r="N22" i="1"/>
  <c r="M22" i="1"/>
  <c r="L22" i="1"/>
  <c r="K22" i="1"/>
  <c r="J22" i="1"/>
  <c r="J21" i="1"/>
  <c r="P7" i="1"/>
  <c r="O8" i="1" s="1"/>
  <c r="P24" i="1"/>
  <c r="L26" i="1" s="1"/>
  <c r="P23" i="1"/>
  <c r="L25" i="1" s="1"/>
  <c r="O17" i="1"/>
  <c r="N17" i="1"/>
  <c r="M17" i="1"/>
  <c r="L17" i="1"/>
  <c r="K17" i="1"/>
  <c r="J17" i="1"/>
  <c r="P11" i="1"/>
  <c r="P6" i="1"/>
  <c r="O6" i="1" s="1"/>
  <c r="O11" i="1"/>
  <c r="N11" i="1"/>
  <c r="M11" i="1"/>
  <c r="L11" i="1"/>
  <c r="K11" i="1"/>
  <c r="J11" i="1"/>
  <c r="J25" i="1" l="1"/>
  <c r="J26" i="1"/>
  <c r="M26" i="1"/>
  <c r="M25" i="1"/>
  <c r="N25" i="1"/>
  <c r="K26" i="1"/>
  <c r="N26" i="1"/>
  <c r="O26" i="1"/>
  <c r="O25" i="1"/>
  <c r="K25" i="1"/>
  <c r="K6" i="1"/>
  <c r="M6" i="1"/>
  <c r="J6" i="1"/>
  <c r="M12" i="1"/>
  <c r="L6" i="1"/>
  <c r="N6" i="1"/>
  <c r="N12" i="1"/>
  <c r="O12" i="1"/>
  <c r="J12" i="1"/>
  <c r="K12" i="1"/>
  <c r="L12" i="1"/>
  <c r="J8" i="1"/>
  <c r="N8" i="1"/>
  <c r="L8" i="1"/>
  <c r="M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tc={8CB15B26-FF9A-4910-928C-3285CAFA06F8}</author>
    <author>tc={844EF662-ABDE-424E-B8DC-283D3188D229}</author>
    <author>tc={BE365260-8F92-4ADB-A1F2-FB2228390CC0}</author>
  </authors>
  <commentList>
    <comment ref="P1" authorId="0" shapeId="0" xr:uid="{8CB15B26-FF9A-4910-928C-3285CAFA06F8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Multiplier to convert cost/unit to costs/acre cropland</t>
      </text>
    </comment>
    <comment ref="P6" authorId="1" shapeId="0" xr:uid="{844EF662-ABDE-424E-B8DC-283D3188D229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1 acre plot in feet x Width of 1 acre plot in feet/median spacing for broadband terraces (300 ft) from https://directives.nrcs.usda.gov/sites/default/files2/1748624742/Chapter%208%20Terraces.pdf</t>
      </text>
    </comment>
    <comment ref="P7" authorId="2" shapeId="0" xr:uid="{BE365260-8F92-4ADB-A1F2-FB2228390CC0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one acre field in feet x 50 ft width grassed waterway</t>
      </text>
    </comment>
  </commentList>
</comments>
</file>

<file path=xl/sharedStrings.xml><?xml version="1.0" encoding="utf-8"?>
<sst xmlns="http://schemas.openxmlformats.org/spreadsheetml/2006/main" count="127" uniqueCount="74">
  <si>
    <t>ACRES conservation practice</t>
  </si>
  <si>
    <t>Conservation tillage</t>
  </si>
  <si>
    <t>Minimum tillage</t>
  </si>
  <si>
    <t>Terrace</t>
  </si>
  <si>
    <t>Grassed Waterway</t>
  </si>
  <si>
    <t>Vegetated Filter Strip</t>
  </si>
  <si>
    <t>Pond</t>
  </si>
  <si>
    <t>NRCS Conservation Practices</t>
  </si>
  <si>
    <t>Nutrient mgt (10 or 20% reduction, fertilizer fraction)</t>
  </si>
  <si>
    <t>Residue and Tillage Management, No Till</t>
  </si>
  <si>
    <t>Units</t>
  </si>
  <si>
    <t>Practice No.</t>
  </si>
  <si>
    <t>Cost/Unit</t>
  </si>
  <si>
    <t>Residue and Tillage Management, Reduced Till</t>
  </si>
  <si>
    <t>SqFt</t>
  </si>
  <si>
    <t>Filter Strip</t>
  </si>
  <si>
    <t>Ac</t>
  </si>
  <si>
    <t>Excavated Pit</t>
  </si>
  <si>
    <t>CuYd</t>
  </si>
  <si>
    <t>Contour Farming</t>
  </si>
  <si>
    <t>VT</t>
  </si>
  <si>
    <t>NH</t>
  </si>
  <si>
    <t>Nutrient Management</t>
  </si>
  <si>
    <t>Basic NM with Manure Injection</t>
  </si>
  <si>
    <t>Broadbased</t>
  </si>
  <si>
    <t>Ft</t>
  </si>
  <si>
    <t>Base Waterway, Seeding</t>
  </si>
  <si>
    <t>https://efotg.sc.egov.usda.gov/references/public/NC/330-ContourFarming.pdf</t>
  </si>
  <si>
    <t>Component</t>
  </si>
  <si>
    <t>Need average cropland acreage per farm - Ag Census?</t>
  </si>
  <si>
    <t>average?</t>
  </si>
  <si>
    <t>Contour</t>
  </si>
  <si>
    <t>Need grassed waterway dimensions; assume length is one side of a square HRU and min width of 30 - 32 ft (https://www.nrcs.usda.gov/wps/cmis_proxy/https/ecm.nrcs.usda.gov%3A443/fncmis/resources/WEBP/ContentStream/idd_B01CBC63-0000-CE18-97A2-519E2DC7D9C5/0/Grassed+Waterway+Design+Charts.pdf)</t>
  </si>
  <si>
    <t>"typical" spacing between terraces is given as 120 ft in this reference (https://directives.sc.egov.usda.gov/OpenNonWebContent.aspx?content=31181.wba); assume these extend for the length of the field</t>
  </si>
  <si>
    <t>Only value available for NH</t>
  </si>
  <si>
    <t>Assume this is annual recurring cost (like O&amp;M)</t>
  </si>
  <si>
    <t>n/a</t>
  </si>
  <si>
    <t>Broad-based</t>
  </si>
  <si>
    <t>Riparian forest buffer, Bare root, all shelters</t>
  </si>
  <si>
    <t>Riparian herbaceous cover</t>
  </si>
  <si>
    <t>Riparian forested buffer</t>
  </si>
  <si>
    <t>VT-2026</t>
  </si>
  <si>
    <t>NY-2026</t>
  </si>
  <si>
    <t>NH-2026</t>
  </si>
  <si>
    <t>MA-2026</t>
  </si>
  <si>
    <t>CT_2026</t>
  </si>
  <si>
    <t>RI_2026</t>
  </si>
  <si>
    <t>Average Foregone Income</t>
  </si>
  <si>
    <t>Riparian herbaceous cover, native grasses w forbs</t>
  </si>
  <si>
    <t>Ac Rip</t>
  </si>
  <si>
    <t>Ac Crop</t>
  </si>
  <si>
    <t>Corrected units from acres riparian buffer to acres cropland treated based on median HUC12 area/riparian area</t>
  </si>
  <si>
    <t>Convn Factor</t>
  </si>
  <si>
    <t>Filter Strip, Native species, Foregone income</t>
  </si>
  <si>
    <t>Grassed Buffer</t>
  </si>
  <si>
    <t>Forested Buffer</t>
  </si>
  <si>
    <t>Corrected units from acres riparian buffer to acres cropland treated based on median HUC12 area/50ft width riparian area</t>
  </si>
  <si>
    <t>Assumptions</t>
  </si>
  <si>
    <t>300 ft spacing between terraces</t>
  </si>
  <si>
    <t>50ft wide</t>
  </si>
  <si>
    <t>Pond sized to hold entire 1" storm on frozen soil for 1 acre</t>
  </si>
  <si>
    <t>Manure injection</t>
  </si>
  <si>
    <t>Min 30 ft strip on downgradient end</t>
  </si>
  <si>
    <t xml:space="preserve">Assume 50 ft width per NRCS guidelines along one edge of acre field </t>
  </si>
  <si>
    <t>Assume 50 ft width per NRCS guidelines along one edge of acre field</t>
  </si>
  <si>
    <t>Filter Strip, Introduced species, Foregone Income</t>
  </si>
  <si>
    <t>Table E.1. Summary of 2026 costs of agricultural conservation practices derived from NRCS Payment Schedules for EQIP Program (https://www.nrcs.usda.gov/getting-assistance/payment-schedules) before correcting for fraction paid to farmers (0.75).  Values corrected to cost per unit acre of agricultural land are in shaded rows.</t>
  </si>
  <si>
    <t>Assume 3 ft deep</t>
  </si>
  <si>
    <t>Cover Crop</t>
  </si>
  <si>
    <t>Single Species</t>
  </si>
  <si>
    <t>Multi-Species</t>
  </si>
  <si>
    <t>Mechanical Termination</t>
  </si>
  <si>
    <t>Average + Termination</t>
  </si>
  <si>
    <t>kSqFt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</si>
</sst>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8" fontId="3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0" fontId="3" fillId="2" borderId="0" xfId="0" applyFont="1" applyFill="1"/>
    <xf numFmtId="8" fontId="4" fillId="0" borderId="0" xfId="0" applyNumberFormat="1" applyFont="1"/>
    <xf numFmtId="8" fontId="5" fillId="0" borderId="0" xfId="0" applyNumberFormat="1" applyFont="1"/>
    <xf numFmtId="0" fontId="3" fillId="3" borderId="0" xfId="0" applyFont="1" applyFill="1"/>
    <xf numFmtId="8" fontId="3" fillId="3" borderId="0" xfId="0" applyNumberFormat="1" applyFont="1" applyFill="1"/>
    <xf numFmtId="164" fontId="3" fillId="3" borderId="0" xfId="0" applyNumberFormat="1" applyFont="1" applyFill="1"/>
    <xf numFmtId="0" fontId="0" fillId="3" borderId="0" xfId="0" applyFill="1"/>
    <xf numFmtId="8" fontId="5" fillId="3" borderId="0" xfId="0" applyNumberFormat="1" applyFont="1" applyFill="1"/>
    <xf numFmtId="0" fontId="6" fillId="3" borderId="0" xfId="1" applyFont="1" applyFill="1"/>
    <xf numFmtId="2" fontId="0" fillId="0" borderId="0" xfId="0" applyNumberFormat="1"/>
    <xf numFmtId="2" fontId="3" fillId="3" borderId="0" xfId="0" applyNumberFormat="1" applyFont="1" applyFill="1"/>
    <xf numFmtId="2" fontId="3" fillId="0" borderId="0" xfId="0" applyNumberFormat="1" applyFont="1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8" fontId="0" fillId="0" borderId="0" xfId="0" applyNumberFormat="1"/>
    <xf numFmtId="8" fontId="0" fillId="3" borderId="0" xfId="0" applyNumberFormat="1" applyFill="1"/>
    <xf numFmtId="0" fontId="0" fillId="0" borderId="0" xfId="0" applyFill="1"/>
    <xf numFmtId="0" fontId="3" fillId="0" borderId="0" xfId="0" applyFont="1" applyFill="1"/>
    <xf numFmtId="8" fontId="3" fillId="0" borderId="0" xfId="0" applyNumberFormat="1" applyFont="1" applyFill="1"/>
    <xf numFmtId="2" fontId="3" fillId="0" borderId="0" xfId="0" applyNumberFormat="1" applyFont="1" applyFill="1"/>
    <xf numFmtId="0" fontId="3" fillId="0" borderId="0" xfId="0" applyFont="1" applyFill="1" applyAlignment="1">
      <alignment wrapText="1"/>
    </xf>
    <xf numFmtId="8" fontId="0" fillId="2" borderId="0" xfId="0" applyNumberFormat="1" applyFill="1"/>
    <xf numFmtId="8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tenbeck, Naomi" id="{84F0D732-6B7A-4ABF-AEAB-FF0873C0FFF1}" userId="S::Detenbeck.Naomi@epa.gov::a88f8dec-f221-4b72-b814-7f6e8bbeb1a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" dT="2026-04-07T11:22:59.47" personId="{84F0D732-6B7A-4ABF-AEAB-FF0873C0FFF1}" id="{8CB15B26-FF9A-4910-928C-3285CAFA06F8}">
    <text>Multiplier to convert cost/unit to costs/acre cropland</text>
  </threadedComment>
  <threadedComment ref="P6" dT="2026-04-07T11:29:05.13" personId="{84F0D732-6B7A-4ABF-AEAB-FF0873C0FFF1}" id="{844EF662-ABDE-424E-B8DC-283D3188D229}">
    <text>Length of 1 acre plot in feet x Width of 1 acre plot in feet/median spacing for broadband terraces (300 ft) from https://directives.nrcs.usda.gov/sites/default/files2/1748624742/Chapter%208%20Terraces.pdf</text>
    <extLst>
      <x:ext xmlns:xltc2="http://schemas.microsoft.com/office/spreadsheetml/2020/threadedcomments2" uri="{F7C98A9C-CBB3-438F-8F68-D28B6AF4A901}">
        <xltc2:checksum>2320240569</xltc2:checksum>
        <xltc2:hyperlink startIndex="113" length="91" url="https://directives.nrcs.usda.gov/sites/default/files2/1748624742/Chapter%208%20Terraces.pdf"/>
      </x:ext>
    </extLst>
  </threadedComment>
  <threadedComment ref="P7" dT="2026-04-07T11:36:38.76" personId="{84F0D732-6B7A-4ABF-AEAB-FF0873C0FFF1}" id="{BE365260-8F92-4ADB-A1F2-FB2228390CC0}">
    <text>Length of one acre field in feet x 50 ft width grassed waterway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fotg.sc.egov.usda.gov/references/public/NC/330-ContourFarming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B99A-52BB-4C3E-9EB8-4B03C61C7B96}">
  <dimension ref="A1:Q26"/>
  <sheetViews>
    <sheetView tabSelected="1" topLeftCell="B1" workbookViewId="0">
      <pane ySplit="1" topLeftCell="A3" activePane="bottomLeft" state="frozen"/>
      <selection activeCell="B1" sqref="B1"/>
      <selection pane="bottomLeft" activeCell="O22" sqref="O22"/>
    </sheetView>
  </sheetViews>
  <sheetFormatPr defaultRowHeight="14.4" x14ac:dyDescent="0.55000000000000004"/>
  <cols>
    <col min="1" max="3" width="27.1015625" style="18" customWidth="1"/>
    <col min="4" max="4" width="8.05078125" customWidth="1"/>
    <col min="5" max="5" width="6.7890625" customWidth="1"/>
    <col min="6" max="6" width="12.41796875" hidden="1" customWidth="1"/>
    <col min="7" max="7" width="10.83984375" hidden="1" customWidth="1"/>
    <col min="8" max="9" width="0" hidden="1" customWidth="1"/>
    <col min="10" max="10" width="10.05078125" style="4" customWidth="1"/>
    <col min="11" max="15" width="10.41796875" style="4" customWidth="1"/>
    <col min="16" max="16" width="11.9453125" style="15" customWidth="1"/>
    <col min="17" max="17" width="29.68359375" style="18" customWidth="1"/>
  </cols>
  <sheetData>
    <row r="1" spans="1:17" x14ac:dyDescent="0.55000000000000004">
      <c r="A1" t="s">
        <v>66</v>
      </c>
      <c r="D1" s="1"/>
      <c r="E1" s="1"/>
      <c r="F1" s="1" t="s">
        <v>20</v>
      </c>
      <c r="G1" s="1" t="s">
        <v>21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15" t="s">
        <v>52</v>
      </c>
      <c r="Q1" s="18" t="s">
        <v>57</v>
      </c>
    </row>
    <row r="2" spans="1:17" ht="25.8" customHeight="1" x14ac:dyDescent="0.55000000000000004">
      <c r="A2" s="21" t="s">
        <v>0</v>
      </c>
      <c r="B2" s="21" t="s">
        <v>7</v>
      </c>
      <c r="C2" s="21" t="s">
        <v>28</v>
      </c>
      <c r="D2" s="21" t="s">
        <v>11</v>
      </c>
      <c r="E2" s="1" t="s">
        <v>10</v>
      </c>
      <c r="F2" s="1" t="s">
        <v>12</v>
      </c>
      <c r="G2" s="1" t="s">
        <v>12</v>
      </c>
    </row>
    <row r="3" spans="1:17" s="12" customFormat="1" x14ac:dyDescent="0.55000000000000004">
      <c r="A3" s="19" t="s">
        <v>1</v>
      </c>
      <c r="B3" s="19" t="s">
        <v>13</v>
      </c>
      <c r="C3" s="19" t="s">
        <v>13</v>
      </c>
      <c r="D3" s="9">
        <v>345</v>
      </c>
      <c r="E3" s="9" t="s">
        <v>16</v>
      </c>
      <c r="F3" s="10">
        <v>14.81</v>
      </c>
      <c r="G3" s="10">
        <v>14.81</v>
      </c>
      <c r="H3" s="9"/>
      <c r="I3" s="9"/>
      <c r="J3" s="11">
        <v>19.420000000000002</v>
      </c>
      <c r="K3" s="11">
        <v>21.56</v>
      </c>
      <c r="L3" s="11">
        <v>19.420000000000002</v>
      </c>
      <c r="M3" s="11">
        <v>19.5</v>
      </c>
      <c r="N3" s="11">
        <v>19.46</v>
      </c>
      <c r="O3" s="11">
        <v>19.71</v>
      </c>
      <c r="P3" s="16"/>
      <c r="Q3" s="19"/>
    </row>
    <row r="4" spans="1:17" s="12" customFormat="1" x14ac:dyDescent="0.55000000000000004">
      <c r="A4" s="19" t="s">
        <v>2</v>
      </c>
      <c r="B4" s="19" t="s">
        <v>9</v>
      </c>
      <c r="C4" s="19"/>
      <c r="D4" s="9">
        <v>329</v>
      </c>
      <c r="E4" s="9" t="s">
        <v>16</v>
      </c>
      <c r="F4" s="10">
        <v>2447.27</v>
      </c>
      <c r="G4" s="9"/>
      <c r="H4" s="9" t="s">
        <v>29</v>
      </c>
      <c r="I4" s="9"/>
      <c r="J4" s="11">
        <v>24.22</v>
      </c>
      <c r="K4" s="11">
        <v>26.58</v>
      </c>
      <c r="L4" s="11">
        <v>24.85</v>
      </c>
      <c r="M4" s="11">
        <v>24.22</v>
      </c>
      <c r="N4" s="11">
        <v>24.33</v>
      </c>
      <c r="O4" s="11">
        <v>24.46</v>
      </c>
      <c r="P4" s="16"/>
      <c r="Q4" s="19"/>
    </row>
    <row r="5" spans="1:17" x14ac:dyDescent="0.55000000000000004">
      <c r="A5" s="20" t="s">
        <v>3</v>
      </c>
      <c r="B5" s="20" t="s">
        <v>3</v>
      </c>
      <c r="C5" s="20" t="s">
        <v>24</v>
      </c>
      <c r="D5" s="2">
        <v>600</v>
      </c>
      <c r="E5" s="2" t="s">
        <v>25</v>
      </c>
      <c r="F5" s="6"/>
      <c r="G5" s="3">
        <v>2.97</v>
      </c>
      <c r="H5" s="2" t="s">
        <v>33</v>
      </c>
      <c r="I5" s="2"/>
      <c r="J5" s="5">
        <v>2.52</v>
      </c>
      <c r="K5" s="5">
        <v>2.72</v>
      </c>
      <c r="L5" s="5">
        <v>2.78</v>
      </c>
      <c r="M5" s="5">
        <v>2.58</v>
      </c>
      <c r="N5" s="5">
        <v>2.66</v>
      </c>
      <c r="O5" s="5">
        <v>2.6</v>
      </c>
      <c r="P5" s="17"/>
      <c r="Q5" s="20" t="s">
        <v>37</v>
      </c>
    </row>
    <row r="6" spans="1:17" s="12" customFormat="1" x14ac:dyDescent="0.55000000000000004">
      <c r="A6" s="19" t="s">
        <v>3</v>
      </c>
      <c r="B6" s="19" t="s">
        <v>3</v>
      </c>
      <c r="C6" s="19" t="s">
        <v>24</v>
      </c>
      <c r="D6" s="9">
        <v>600</v>
      </c>
      <c r="E6" s="9" t="s">
        <v>16</v>
      </c>
      <c r="F6" s="9"/>
      <c r="G6" s="10"/>
      <c r="H6" s="9"/>
      <c r="I6" s="9"/>
      <c r="J6" s="11">
        <f>J5*$P6</f>
        <v>365.904</v>
      </c>
      <c r="K6" s="11">
        <f t="shared" ref="K6:O6" si="0">K5*$P6</f>
        <v>394.94400000000002</v>
      </c>
      <c r="L6" s="11">
        <f t="shared" si="0"/>
        <v>403.65599999999995</v>
      </c>
      <c r="M6" s="11">
        <f t="shared" si="0"/>
        <v>374.61599999999999</v>
      </c>
      <c r="N6" s="11">
        <f t="shared" si="0"/>
        <v>386.23199999999997</v>
      </c>
      <c r="O6" s="11">
        <f t="shared" si="0"/>
        <v>377.52</v>
      </c>
      <c r="P6" s="16">
        <f>(43560^0.5)*((43560^0.5)/300)</f>
        <v>145.19999999999999</v>
      </c>
      <c r="Q6" s="19" t="s">
        <v>58</v>
      </c>
    </row>
    <row r="7" spans="1:17" x14ac:dyDescent="0.55000000000000004">
      <c r="A7" s="20" t="s">
        <v>4</v>
      </c>
      <c r="B7" s="20" t="s">
        <v>4</v>
      </c>
      <c r="C7" s="20" t="s">
        <v>26</v>
      </c>
      <c r="D7" s="2">
        <v>412</v>
      </c>
      <c r="E7" s="2" t="s">
        <v>14</v>
      </c>
      <c r="F7" s="3">
        <v>0.22</v>
      </c>
      <c r="G7" s="3">
        <v>0.22</v>
      </c>
      <c r="H7" s="2" t="s">
        <v>32</v>
      </c>
      <c r="I7" s="2"/>
      <c r="J7" s="5">
        <v>0.24</v>
      </c>
      <c r="K7" s="5"/>
      <c r="L7" s="5">
        <v>0.24</v>
      </c>
      <c r="M7" s="5">
        <v>0.25</v>
      </c>
      <c r="N7" s="5">
        <v>0.26</v>
      </c>
      <c r="O7" s="5">
        <v>0.26</v>
      </c>
      <c r="P7" s="17">
        <f>(43560^0.5)*50</f>
        <v>10435.516278555651</v>
      </c>
      <c r="Q7" s="20" t="s">
        <v>59</v>
      </c>
    </row>
    <row r="8" spans="1:17" s="12" customFormat="1" x14ac:dyDescent="0.55000000000000004">
      <c r="A8" s="19" t="s">
        <v>4</v>
      </c>
      <c r="B8" s="19" t="s">
        <v>4</v>
      </c>
      <c r="C8" s="19" t="s">
        <v>26</v>
      </c>
      <c r="D8" s="9">
        <v>412</v>
      </c>
      <c r="E8" s="9" t="s">
        <v>16</v>
      </c>
      <c r="F8" s="10">
        <v>0.22</v>
      </c>
      <c r="G8" s="10">
        <v>0.22</v>
      </c>
      <c r="H8" s="9" t="s">
        <v>32</v>
      </c>
      <c r="I8" s="9"/>
      <c r="J8" s="11">
        <f>J7*$P7</f>
        <v>2504.523906853356</v>
      </c>
      <c r="K8" s="22">
        <v>2702.87</v>
      </c>
      <c r="L8" s="11">
        <f>L7*$P7</f>
        <v>2504.523906853356</v>
      </c>
      <c r="M8" s="11">
        <f>M7*$P7</f>
        <v>2608.8790696389128</v>
      </c>
      <c r="N8" s="11">
        <f>N7*$P7</f>
        <v>2713.2342324244696</v>
      </c>
      <c r="O8" s="11">
        <f>O7*$P7</f>
        <v>2713.2342324244696</v>
      </c>
      <c r="P8" s="16"/>
      <c r="Q8" s="19"/>
    </row>
    <row r="9" spans="1:17" ht="28.8" x14ac:dyDescent="0.55000000000000004">
      <c r="A9" s="20" t="s">
        <v>5</v>
      </c>
      <c r="B9" s="20" t="s">
        <v>15</v>
      </c>
      <c r="C9" s="20" t="s">
        <v>65</v>
      </c>
      <c r="D9" s="2">
        <v>393</v>
      </c>
      <c r="E9" s="2" t="s">
        <v>16</v>
      </c>
      <c r="F9" s="7">
        <v>373.05</v>
      </c>
      <c r="G9" s="8">
        <v>373.05</v>
      </c>
      <c r="H9" s="2" t="s">
        <v>34</v>
      </c>
      <c r="I9" s="2"/>
      <c r="J9" s="5">
        <v>968.89</v>
      </c>
      <c r="K9" s="5">
        <v>587.70000000000005</v>
      </c>
      <c r="L9" s="5">
        <v>972.57</v>
      </c>
      <c r="M9" s="5">
        <v>968.64</v>
      </c>
      <c r="N9" s="5">
        <v>969.44</v>
      </c>
      <c r="O9" s="5">
        <v>969.41</v>
      </c>
      <c r="P9" s="17"/>
      <c r="Q9" s="20"/>
    </row>
    <row r="10" spans="1:17" x14ac:dyDescent="0.55000000000000004">
      <c r="A10" s="20" t="s">
        <v>5</v>
      </c>
      <c r="B10" s="20" t="s">
        <v>15</v>
      </c>
      <c r="C10" s="20" t="s">
        <v>53</v>
      </c>
      <c r="D10" s="2">
        <v>393</v>
      </c>
      <c r="E10" s="2" t="s">
        <v>16</v>
      </c>
      <c r="F10" s="8">
        <v>371.23</v>
      </c>
      <c r="G10" s="8" t="s">
        <v>36</v>
      </c>
      <c r="H10" s="2" t="s">
        <v>35</v>
      </c>
      <c r="I10" s="2"/>
      <c r="J10" s="5">
        <v>1030.57</v>
      </c>
      <c r="K10" s="5">
        <v>649.04999999999995</v>
      </c>
      <c r="L10" s="5">
        <v>1033.3900000000001</v>
      </c>
      <c r="M10" s="5">
        <v>1030.44</v>
      </c>
      <c r="N10" s="5">
        <v>1031.02</v>
      </c>
      <c r="O10" s="5">
        <v>1031.1600000000001</v>
      </c>
      <c r="P10" s="17"/>
      <c r="Q10" s="20"/>
    </row>
    <row r="11" spans="1:17" x14ac:dyDescent="0.55000000000000004">
      <c r="A11" s="20" t="s">
        <v>5</v>
      </c>
      <c r="B11" s="20" t="s">
        <v>15</v>
      </c>
      <c r="C11" s="20" t="s">
        <v>47</v>
      </c>
      <c r="D11" s="2">
        <v>393</v>
      </c>
      <c r="E11" s="2" t="s">
        <v>16</v>
      </c>
      <c r="F11" s="8"/>
      <c r="G11" s="8"/>
      <c r="H11" s="2"/>
      <c r="I11" s="2"/>
      <c r="J11" s="5">
        <f t="shared" ref="J11:O11" si="1">AVERAGE(J9,J10)</f>
        <v>999.73</v>
      </c>
      <c r="K11" s="5">
        <f t="shared" si="1"/>
        <v>618.375</v>
      </c>
      <c r="L11" s="5">
        <f t="shared" si="1"/>
        <v>1002.98</v>
      </c>
      <c r="M11" s="5">
        <f t="shared" si="1"/>
        <v>999.54</v>
      </c>
      <c r="N11" s="5">
        <f t="shared" si="1"/>
        <v>1000.23</v>
      </c>
      <c r="O11" s="5">
        <f t="shared" si="1"/>
        <v>1000.2850000000001</v>
      </c>
      <c r="P11" s="17">
        <f>((43560^0.5)*30)/43560</f>
        <v>0.14373989364401724</v>
      </c>
      <c r="Q11" s="20" t="s">
        <v>62</v>
      </c>
    </row>
    <row r="12" spans="1:17" s="12" customFormat="1" x14ac:dyDescent="0.55000000000000004">
      <c r="A12" s="19" t="s">
        <v>5</v>
      </c>
      <c r="B12" s="19" t="s">
        <v>15</v>
      </c>
      <c r="C12" s="19" t="s">
        <v>47</v>
      </c>
      <c r="D12" s="9">
        <v>393</v>
      </c>
      <c r="E12" s="9" t="s">
        <v>16</v>
      </c>
      <c r="F12" s="13"/>
      <c r="G12" s="13"/>
      <c r="H12" s="9"/>
      <c r="I12" s="9"/>
      <c r="J12" s="11">
        <f>J11*$P11</f>
        <v>143.70108387273336</v>
      </c>
      <c r="K12" s="11">
        <f t="shared" ref="K12:O12" si="2">K11*$P11</f>
        <v>88.885156732119157</v>
      </c>
      <c r="L12" s="11">
        <f t="shared" si="2"/>
        <v>144.1682385270764</v>
      </c>
      <c r="M12" s="11">
        <f t="shared" si="2"/>
        <v>143.67377329294098</v>
      </c>
      <c r="N12" s="11">
        <f t="shared" si="2"/>
        <v>143.77295381955537</v>
      </c>
      <c r="O12" s="11">
        <f t="shared" si="2"/>
        <v>143.78085951370579</v>
      </c>
      <c r="P12" s="16"/>
      <c r="Q12" s="19"/>
    </row>
    <row r="13" spans="1:17" s="12" customFormat="1" x14ac:dyDescent="0.55000000000000004">
      <c r="A13" s="19" t="s">
        <v>31</v>
      </c>
      <c r="B13" s="19" t="s">
        <v>19</v>
      </c>
      <c r="C13" s="19"/>
      <c r="D13" s="9">
        <v>330</v>
      </c>
      <c r="E13" s="9" t="s">
        <v>16</v>
      </c>
      <c r="F13" s="9"/>
      <c r="G13" s="9"/>
      <c r="H13" s="10">
        <v>8.16</v>
      </c>
      <c r="I13" s="14" t="s">
        <v>27</v>
      </c>
      <c r="J13" s="11">
        <v>8.9700000000000006</v>
      </c>
      <c r="K13" s="11">
        <v>9.9</v>
      </c>
      <c r="L13" s="11">
        <v>9.24</v>
      </c>
      <c r="M13" s="11">
        <v>9.24</v>
      </c>
      <c r="N13" s="11">
        <v>9.1</v>
      </c>
      <c r="O13" s="11">
        <v>9.1999999999999993</v>
      </c>
      <c r="P13" s="16"/>
      <c r="Q13" s="19"/>
    </row>
    <row r="14" spans="1:17" s="12" customFormat="1" x14ac:dyDescent="0.55000000000000004">
      <c r="A14" s="19" t="s">
        <v>8</v>
      </c>
      <c r="B14" s="19" t="s">
        <v>22</v>
      </c>
      <c r="C14" s="19" t="s">
        <v>22</v>
      </c>
      <c r="D14" s="9">
        <v>590</v>
      </c>
      <c r="E14" s="9" t="s">
        <v>16</v>
      </c>
      <c r="F14" s="10">
        <v>13.46</v>
      </c>
      <c r="G14" s="10">
        <v>14.12</v>
      </c>
      <c r="H14" s="9"/>
      <c r="I14" s="9"/>
      <c r="J14" s="11">
        <v>32.07</v>
      </c>
      <c r="K14" s="11">
        <v>33.340000000000003</v>
      </c>
      <c r="L14" s="11">
        <v>32.83</v>
      </c>
      <c r="M14" s="11">
        <v>34.799999999999997</v>
      </c>
      <c r="N14" s="11">
        <v>33.28</v>
      </c>
      <c r="O14" s="11">
        <v>33.880000000000003</v>
      </c>
      <c r="P14" s="16"/>
      <c r="Q14" s="19"/>
    </row>
    <row r="15" spans="1:17" s="12" customFormat="1" x14ac:dyDescent="0.55000000000000004">
      <c r="A15" s="19" t="s">
        <v>61</v>
      </c>
      <c r="B15" s="19" t="s">
        <v>22</v>
      </c>
      <c r="C15" s="19" t="s">
        <v>23</v>
      </c>
      <c r="D15" s="9">
        <v>590</v>
      </c>
      <c r="E15" s="9" t="s">
        <v>16</v>
      </c>
      <c r="F15" s="10">
        <v>36.159999999999997</v>
      </c>
      <c r="G15" s="10">
        <v>36.18</v>
      </c>
      <c r="H15" s="9"/>
      <c r="I15" s="9"/>
      <c r="J15" s="11">
        <v>50</v>
      </c>
      <c r="K15" s="11">
        <v>50</v>
      </c>
      <c r="L15" s="11">
        <v>50</v>
      </c>
      <c r="M15" s="11">
        <v>50</v>
      </c>
      <c r="N15" s="11">
        <v>50</v>
      </c>
      <c r="O15" s="11">
        <v>50</v>
      </c>
      <c r="P15" s="16"/>
      <c r="Q15" s="19"/>
    </row>
    <row r="16" spans="1:17" ht="28.8" x14ac:dyDescent="0.55000000000000004">
      <c r="A16" s="20" t="s">
        <v>6</v>
      </c>
      <c r="B16" s="20" t="s">
        <v>6</v>
      </c>
      <c r="C16" s="20" t="s">
        <v>17</v>
      </c>
      <c r="D16" s="2">
        <v>378</v>
      </c>
      <c r="E16" s="2" t="s">
        <v>18</v>
      </c>
      <c r="F16" s="3">
        <v>6.08</v>
      </c>
      <c r="G16" s="2"/>
      <c r="H16" s="2" t="s">
        <v>30</v>
      </c>
      <c r="I16" s="2"/>
      <c r="J16" s="5">
        <v>8.73</v>
      </c>
      <c r="K16" s="5">
        <v>2.16</v>
      </c>
      <c r="L16" s="5">
        <v>10.07</v>
      </c>
      <c r="M16" s="5">
        <v>6.78</v>
      </c>
      <c r="N16" s="5">
        <v>8.89</v>
      </c>
      <c r="O16" s="5">
        <v>8.9700000000000006</v>
      </c>
      <c r="P16" s="17">
        <v>4840</v>
      </c>
      <c r="Q16" s="20" t="s">
        <v>60</v>
      </c>
    </row>
    <row r="17" spans="1:17" s="12" customFormat="1" x14ac:dyDescent="0.55000000000000004">
      <c r="A17" s="19" t="s">
        <v>6</v>
      </c>
      <c r="B17" s="19" t="s">
        <v>6</v>
      </c>
      <c r="C17" s="19" t="s">
        <v>17</v>
      </c>
      <c r="D17" s="9">
        <v>378</v>
      </c>
      <c r="E17" s="9" t="s">
        <v>16</v>
      </c>
      <c r="F17" s="10"/>
      <c r="G17" s="9"/>
      <c r="H17" s="9"/>
      <c r="I17" s="9"/>
      <c r="J17" s="11">
        <f>$P16*J16</f>
        <v>42253.200000000004</v>
      </c>
      <c r="K17" s="11">
        <f t="shared" ref="K17:O17" si="3">$P16*K16</f>
        <v>10454.400000000001</v>
      </c>
      <c r="L17" s="11">
        <f t="shared" si="3"/>
        <v>48738.8</v>
      </c>
      <c r="M17" s="11">
        <f t="shared" si="3"/>
        <v>32815.200000000004</v>
      </c>
      <c r="N17" s="11">
        <f t="shared" si="3"/>
        <v>43027.600000000006</v>
      </c>
      <c r="O17" s="11">
        <f t="shared" si="3"/>
        <v>43414.8</v>
      </c>
      <c r="P17" s="16"/>
      <c r="Q17" s="19" t="s">
        <v>67</v>
      </c>
    </row>
    <row r="18" spans="1:17" s="24" customFormat="1" x14ac:dyDescent="0.55000000000000004">
      <c r="B18" s="24" t="s">
        <v>68</v>
      </c>
      <c r="C18" s="24" t="s">
        <v>69</v>
      </c>
      <c r="D18" s="25">
        <v>340</v>
      </c>
      <c r="E18" s="25" t="s">
        <v>16</v>
      </c>
      <c r="F18" s="26"/>
      <c r="G18" s="25"/>
      <c r="H18" s="25"/>
      <c r="I18" s="25"/>
      <c r="J18" s="29">
        <v>74.650000000000006</v>
      </c>
      <c r="K18" s="29">
        <v>76.989999999999995</v>
      </c>
      <c r="L18" s="29">
        <v>75.28</v>
      </c>
      <c r="M18" s="29">
        <v>74.650000000000006</v>
      </c>
      <c r="N18" s="29">
        <v>74.77</v>
      </c>
      <c r="O18" s="29">
        <v>74.89</v>
      </c>
      <c r="P18" s="27"/>
      <c r="Q18" s="28"/>
    </row>
    <row r="19" spans="1:17" s="24" customFormat="1" x14ac:dyDescent="0.55000000000000004">
      <c r="B19" s="24" t="s">
        <v>68</v>
      </c>
      <c r="C19" s="24" t="s">
        <v>70</v>
      </c>
      <c r="D19" s="25">
        <v>340</v>
      </c>
      <c r="E19" s="25" t="s">
        <v>16</v>
      </c>
      <c r="F19" s="26"/>
      <c r="G19" s="25"/>
      <c r="H19" s="25"/>
      <c r="I19" s="25"/>
      <c r="J19" s="29">
        <v>77.86</v>
      </c>
      <c r="K19" s="29">
        <v>96.24</v>
      </c>
      <c r="L19" s="29">
        <v>78.489999999999995</v>
      </c>
      <c r="M19" s="29">
        <v>77.86</v>
      </c>
      <c r="N19" s="29">
        <v>77.97</v>
      </c>
      <c r="O19" s="29">
        <v>78.099999999999994</v>
      </c>
      <c r="P19" s="27"/>
      <c r="Q19" s="28"/>
    </row>
    <row r="20" spans="1:17" s="24" customFormat="1" x14ac:dyDescent="0.55000000000000004">
      <c r="A20" s="28"/>
      <c r="B20" s="24" t="s">
        <v>68</v>
      </c>
      <c r="C20" s="24" t="s">
        <v>71</v>
      </c>
      <c r="D20" s="25">
        <v>340</v>
      </c>
      <c r="E20" s="25" t="s">
        <v>73</v>
      </c>
      <c r="F20" s="26"/>
      <c r="G20" s="25"/>
      <c r="H20" s="25"/>
      <c r="I20" s="25"/>
      <c r="J20" s="29">
        <v>24.14</v>
      </c>
      <c r="K20" s="29">
        <v>25.73</v>
      </c>
      <c r="L20" s="29">
        <v>23.91</v>
      </c>
      <c r="M20" s="29">
        <v>25.22</v>
      </c>
      <c r="N20" s="29">
        <v>24.58</v>
      </c>
      <c r="O20" s="29">
        <v>26.54</v>
      </c>
      <c r="P20" s="27"/>
      <c r="Q20" s="28"/>
    </row>
    <row r="21" spans="1:17" s="24" customFormat="1" x14ac:dyDescent="0.55000000000000004">
      <c r="A21" s="28"/>
      <c r="B21" s="24" t="s">
        <v>68</v>
      </c>
      <c r="C21" s="24" t="s">
        <v>71</v>
      </c>
      <c r="D21" s="25">
        <v>340</v>
      </c>
      <c r="E21" s="25" t="s">
        <v>16</v>
      </c>
      <c r="F21" s="26"/>
      <c r="G21" s="25"/>
      <c r="H21" s="25"/>
      <c r="I21" s="25"/>
      <c r="J21" s="30">
        <f>J20*43.56</f>
        <v>1051.5384000000001</v>
      </c>
      <c r="K21" s="30">
        <f t="shared" ref="K21:O21" si="4">K20*43.56</f>
        <v>1120.7988</v>
      </c>
      <c r="L21" s="30">
        <f t="shared" si="4"/>
        <v>1041.5196000000001</v>
      </c>
      <c r="M21" s="30">
        <f t="shared" si="4"/>
        <v>1098.5832</v>
      </c>
      <c r="N21" s="30">
        <f t="shared" si="4"/>
        <v>1070.7048</v>
      </c>
      <c r="O21" s="30">
        <f t="shared" si="4"/>
        <v>1156.0824</v>
      </c>
      <c r="P21" s="27"/>
      <c r="Q21" s="28"/>
    </row>
    <row r="22" spans="1:17" s="12" customFormat="1" x14ac:dyDescent="0.55000000000000004">
      <c r="A22" s="12" t="s">
        <v>68</v>
      </c>
      <c r="B22" s="12" t="s">
        <v>68</v>
      </c>
      <c r="C22" s="12" t="s">
        <v>72</v>
      </c>
      <c r="D22" s="9">
        <v>340</v>
      </c>
      <c r="E22" s="9" t="s">
        <v>16</v>
      </c>
      <c r="F22" s="10">
        <v>9.01</v>
      </c>
      <c r="G22" s="10">
        <v>8.7200000000000006</v>
      </c>
      <c r="H22" s="9"/>
      <c r="I22" s="9"/>
      <c r="J22" s="23">
        <f>AVERAGE(J18:J19)+J21</f>
        <v>1127.7934</v>
      </c>
      <c r="K22" s="23">
        <f t="shared" ref="K22:O22" si="5">AVERAGE(K18:K19)+K21</f>
        <v>1207.4138</v>
      </c>
      <c r="L22" s="23">
        <f t="shared" si="5"/>
        <v>1118.4046000000001</v>
      </c>
      <c r="M22" s="23">
        <f t="shared" si="5"/>
        <v>1174.8382000000001</v>
      </c>
      <c r="N22" s="23">
        <f t="shared" si="5"/>
        <v>1147.0747999999999</v>
      </c>
      <c r="O22" s="23">
        <f t="shared" si="5"/>
        <v>1232.5774000000001</v>
      </c>
      <c r="P22" s="16"/>
      <c r="Q22" s="19"/>
    </row>
    <row r="23" spans="1:17" ht="43.2" x14ac:dyDescent="0.55000000000000004">
      <c r="A23" s="20" t="s">
        <v>54</v>
      </c>
      <c r="B23" s="20" t="s">
        <v>39</v>
      </c>
      <c r="C23" s="20" t="s">
        <v>48</v>
      </c>
      <c r="D23" s="2">
        <v>390</v>
      </c>
      <c r="E23" s="2" t="s">
        <v>49</v>
      </c>
      <c r="F23" s="3"/>
      <c r="G23" s="3"/>
      <c r="H23" s="2"/>
      <c r="I23" s="2"/>
      <c r="J23" s="5">
        <v>746.4</v>
      </c>
      <c r="K23" s="5">
        <v>758.48</v>
      </c>
      <c r="L23" s="5">
        <v>744.65</v>
      </c>
      <c r="M23" s="5">
        <v>754.57</v>
      </c>
      <c r="N23" s="5">
        <v>753.03</v>
      </c>
      <c r="O23" s="5">
        <v>767.88</v>
      </c>
      <c r="P23" s="17">
        <f>((43560^0.5)*50)/43560</f>
        <v>0.23956648940669539</v>
      </c>
      <c r="Q23" s="18" t="s">
        <v>63</v>
      </c>
    </row>
    <row r="24" spans="1:17" ht="43.2" x14ac:dyDescent="0.55000000000000004">
      <c r="A24" s="20" t="s">
        <v>55</v>
      </c>
      <c r="B24" s="20" t="s">
        <v>40</v>
      </c>
      <c r="C24" s="20" t="s">
        <v>38</v>
      </c>
      <c r="D24" s="2">
        <v>391</v>
      </c>
      <c r="E24" s="2" t="s">
        <v>49</v>
      </c>
      <c r="F24" s="3"/>
      <c r="G24" s="3"/>
      <c r="H24" s="2"/>
      <c r="I24" s="2"/>
      <c r="J24" s="5">
        <v>5477.83</v>
      </c>
      <c r="K24" s="5">
        <v>5535.95</v>
      </c>
      <c r="L24" s="5">
        <v>5480.84</v>
      </c>
      <c r="M24" s="5">
        <v>5595.24</v>
      </c>
      <c r="N24" s="5">
        <v>5527.4</v>
      </c>
      <c r="O24" s="5">
        <v>5682.14</v>
      </c>
      <c r="P24" s="17">
        <f>((43560^0.5)*50)/43560</f>
        <v>0.23956648940669539</v>
      </c>
      <c r="Q24" s="18" t="s">
        <v>64</v>
      </c>
    </row>
    <row r="25" spans="1:17" s="12" customFormat="1" ht="57.6" x14ac:dyDescent="0.55000000000000004">
      <c r="A25" s="19" t="s">
        <v>54</v>
      </c>
      <c r="B25" s="19" t="s">
        <v>39</v>
      </c>
      <c r="C25" s="19" t="s">
        <v>48</v>
      </c>
      <c r="D25" s="9">
        <v>390</v>
      </c>
      <c r="E25" s="9" t="s">
        <v>50</v>
      </c>
      <c r="F25" s="9"/>
      <c r="G25" s="9"/>
      <c r="H25" s="9"/>
      <c r="I25" s="9"/>
      <c r="J25" s="11">
        <f>J23*$P23</f>
        <v>178.81242769315745</v>
      </c>
      <c r="K25" s="11">
        <f t="shared" ref="K25:O25" si="6">K23*$P23</f>
        <v>181.70639088519033</v>
      </c>
      <c r="L25" s="11">
        <f t="shared" si="6"/>
        <v>178.39318633669572</v>
      </c>
      <c r="M25" s="11">
        <f t="shared" si="6"/>
        <v>180.76968591161017</v>
      </c>
      <c r="N25" s="11">
        <f t="shared" si="6"/>
        <v>180.40075351792382</v>
      </c>
      <c r="O25" s="11">
        <f t="shared" si="6"/>
        <v>183.95831588561325</v>
      </c>
      <c r="P25" s="16"/>
      <c r="Q25" s="19" t="s">
        <v>56</v>
      </c>
    </row>
    <row r="26" spans="1:17" s="12" customFormat="1" ht="57.6" x14ac:dyDescent="0.55000000000000004">
      <c r="A26" s="19" t="s">
        <v>55</v>
      </c>
      <c r="B26" s="19" t="s">
        <v>40</v>
      </c>
      <c r="C26" s="19" t="s">
        <v>38</v>
      </c>
      <c r="D26" s="9">
        <v>391</v>
      </c>
      <c r="E26" s="9" t="s">
        <v>50</v>
      </c>
      <c r="F26" s="9"/>
      <c r="G26" s="9"/>
      <c r="H26" s="9"/>
      <c r="I26" s="9"/>
      <c r="J26" s="11">
        <f>J24*$P24</f>
        <v>1312.3045026666782</v>
      </c>
      <c r="K26" s="11">
        <f t="shared" ref="K26:O26" si="7">K24*$P24</f>
        <v>1326.2281070309953</v>
      </c>
      <c r="L26" s="11">
        <f t="shared" si="7"/>
        <v>1313.0255977997924</v>
      </c>
      <c r="M26" s="11">
        <f t="shared" si="7"/>
        <v>1340.4320041879182</v>
      </c>
      <c r="N26" s="11">
        <f t="shared" si="7"/>
        <v>1324.1798135465681</v>
      </c>
      <c r="O26" s="11">
        <f t="shared" si="7"/>
        <v>1361.2503321173601</v>
      </c>
      <c r="P26" s="16"/>
      <c r="Q26" s="19" t="s">
        <v>51</v>
      </c>
    </row>
  </sheetData>
  <hyperlinks>
    <hyperlink ref="I13" r:id="rId1" xr:uid="{974598A3-75EB-4D0A-BBD2-E66E9332F0A1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Detenbeck, Naomi</dc:creator>
  <cp:lastModifiedBy>Detenbeck, Naomi</cp:lastModifiedBy>
  <dcterms:created xsi:type="dcterms:W3CDTF">2020-04-28T10:55:06Z</dcterms:created>
  <dcterms:modified xsi:type="dcterms:W3CDTF">2026-04-24T20:58:36Z</dcterms:modified>
</cp:coreProperties>
</file>